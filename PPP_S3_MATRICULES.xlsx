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  <sheet name="Analyse" sheetId="2" state="visible" r:id="rId4"/>
    <sheet name="Gravité &amp; Filtre" sheetId="3" state="visible" r:id="rId5"/>
    <sheet name="TCD – Q9" sheetId="4" state="visible" r:id="rId6"/>
    <sheet name="Graphique – Q10" sheetId="5" state="visible" r:id="rId7"/>
  </sheets>
  <definedNames>
    <definedName function="false" hidden="true" localSheetId="2" name="_xlnm._FilterDatabase" vbProcedure="false">'Gravité &amp; Filtre'!$A$1:$J$21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<sst xmlns="http://schemas.openxmlformats.org/spreadsheetml/2006/main" count="238" uniqueCount="67">
  <si>
    <t xml:space="preserve">ID Étudiant</t>
  </si>
  <si>
    <t xml:space="preserve">Filière</t>
  </si>
  <si>
    <t xml:space="preserve">Salle</t>
  </si>
  <si>
    <t xml:space="preserve">Type d'Incident</t>
  </si>
  <si>
    <t xml:space="preserve">Durée (min)</t>
  </si>
  <si>
    <t xml:space="preserve">Nb Tentatives</t>
  </si>
  <si>
    <t xml:space="preserve">Note Initiale</t>
  </si>
  <si>
    <t xml:space="preserve">Note Finale</t>
  </si>
  <si>
    <t xml:space="preserve">Impact</t>
  </si>
  <si>
    <t xml:space="preserve">240001</t>
  </si>
  <si>
    <t xml:space="preserve">DSI</t>
  </si>
  <si>
    <t xml:space="preserve">102</t>
  </si>
  <si>
    <t xml:space="preserve">Coupure Wi-Fi totale</t>
  </si>
  <si>
    <t xml:space="preserve">240002</t>
  </si>
  <si>
    <t xml:space="preserve">303</t>
  </si>
  <si>
    <t xml:space="preserve">240003</t>
  </si>
  <si>
    <t xml:space="preserve">RSS</t>
  </si>
  <si>
    <t xml:space="preserve">Déconnexion répétée</t>
  </si>
  <si>
    <t xml:space="preserve">240004</t>
  </si>
  <si>
    <t xml:space="preserve">DWM</t>
  </si>
  <si>
    <t xml:space="preserve">201</t>
  </si>
  <si>
    <t xml:space="preserve">Latence élevée</t>
  </si>
  <si>
    <t xml:space="preserve">240005</t>
  </si>
  <si>
    <t xml:space="preserve">301</t>
  </si>
  <si>
    <t xml:space="preserve">DNS indisponible</t>
  </si>
  <si>
    <t xml:space="preserve">240006</t>
  </si>
  <si>
    <t xml:space="preserve">240007</t>
  </si>
  <si>
    <t xml:space="preserve">302</t>
  </si>
  <si>
    <t xml:space="preserve">240008</t>
  </si>
  <si>
    <t xml:space="preserve">203</t>
  </si>
  <si>
    <t xml:space="preserve">240009</t>
  </si>
  <si>
    <t xml:space="preserve">Connexion instable</t>
  </si>
  <si>
    <t xml:space="preserve">240010</t>
  </si>
  <si>
    <t xml:space="preserve">103</t>
  </si>
  <si>
    <t xml:space="preserve">240011</t>
  </si>
  <si>
    <t xml:space="preserve">240012</t>
  </si>
  <si>
    <t xml:space="preserve">240013</t>
  </si>
  <si>
    <t xml:space="preserve">240014</t>
  </si>
  <si>
    <t xml:space="preserve">240015</t>
  </si>
  <si>
    <t xml:space="preserve">202</t>
  </si>
  <si>
    <t xml:space="preserve">240016</t>
  </si>
  <si>
    <t xml:space="preserve">240017</t>
  </si>
  <si>
    <t xml:space="preserve">240018</t>
  </si>
  <si>
    <t xml:space="preserve">240019</t>
  </si>
  <si>
    <t xml:space="preserve">240020</t>
  </si>
  <si>
    <t xml:space="preserve">101</t>
  </si>
  <si>
    <t xml:space="preserve">📈  PARTIE 2 – ANALYSE DES INCIDENTS  (Questions 1 à 6)</t>
  </si>
  <si>
    <t xml:space="preserve">Q1 – Durée moyenne des coupures</t>
  </si>
  <si>
    <t xml:space="preserve">Durée moyenne des coupures (minutes)</t>
  </si>
  <si>
    <t xml:space="preserve">Q2 – Durée minimale et maximale</t>
  </si>
  <si>
    <t xml:space="preserve">Durée minimale (minutes)</t>
  </si>
  <si>
    <t xml:space="preserve">Durée maximale (minutes)</t>
  </si>
  <si>
    <t xml:space="preserve">Nombre total d'incidents par type</t>
  </si>
  <si>
    <t xml:space="preserve">Nb Incidents</t>
  </si>
  <si>
    <t xml:space="preserve">Salle ayant le plus d'incidents</t>
  </si>
  <si>
    <t xml:space="preserve">🏆  Salle la plus touchée</t>
  </si>
  <si>
    <t xml:space="preserve">Impact moyen sur les notes</t>
  </si>
  <si>
    <t xml:space="preserve">Étudiants ayant perdu plus de 2 points</t>
  </si>
  <si>
    <t xml:space="preserve">Nombre d'étudiants avec Impact &gt; 2 points</t>
  </si>
  <si>
    <t xml:space="preserve">Gravité</t>
  </si>
  <si>
    <t xml:space="preserve">Nombre d'incidents par Salle</t>
  </si>
  <si>
    <t xml:space="preserve">Impact moyen par Filière</t>
  </si>
  <si>
    <t xml:space="preserve">% du Total</t>
  </si>
  <si>
    <t xml:space="preserve">Impact Moyen</t>
  </si>
  <si>
    <t xml:space="preserve">Nb Étudiants</t>
  </si>
  <si>
    <t xml:space="preserve">TOTAL</t>
  </si>
  <si>
    <t xml:space="preserve">Nombre d'Incidents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</si>
</sst>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2E75B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BDD7EE"/>
        <bgColor rgb="FFB8CCE4"/>
      </patternFill>
    </fill>
    <fill>
      <patternFill patternType="solid">
        <fgColor rgb="FFF4B942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E75B6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Calibri"/>
        <charset val="1"/>
        <family val="0"/>
        <b val="1"/>
        <color rgb="FF375623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8CCE4"/>
      <rgbColor rgb="FF878787"/>
      <rgbColor rgb="FF9999FF"/>
      <rgbColor rgb="FF7030A0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4B942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C57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Nombre d'Incidents par Type de Connexion – SupNum 2025-2026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'Graphique – Q10'!$B$1</c:f>
              <c:strCache>
                <c:ptCount val="1"/>
                <c:pt idx="0">
                  <c:v>Nombre d'Incidents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0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ffffff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'Graphique – Q10'!$A$2:$A$6</c:f>
              <c:strCache>
                <c:ptCount val="5"/>
                <c:pt idx="0">
                  <c:v>Coupure Wi-Fi totale</c:v>
                </c:pt>
                <c:pt idx="1">
                  <c:v>Connexion instable</c:v>
                </c:pt>
                <c:pt idx="2">
                  <c:v>DNS indisponible</c:v>
                </c:pt>
                <c:pt idx="3">
                  <c:v>Latence élevée</c:v>
                </c:pt>
                <c:pt idx="4">
                  <c:v>Déconnexion répétée</c:v>
                </c:pt>
              </c:strCache>
            </c:strRef>
          </c:cat>
          <c:val>
            <c:numRef>
              <c:f>'Graphique – Q10'!$B$2:$B$6</c:f>
              <c:numCache>
                <c:formatCode>0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</c:ser>
        <c:gapWidth val="150"/>
        <c:overlap val="0"/>
        <c:axId val="85258675"/>
        <c:axId val="80242004"/>
      </c:barChart>
      <c:catAx>
        <c:axId val="852586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Type d'Incident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242004"/>
        <c:crosses val="autoZero"/>
        <c:auto val="1"/>
        <c:lblAlgn val="ctr"/>
        <c:lblOffset val="100"/>
        <c:noMultiLvlLbl val="0"/>
      </c:catAx>
      <c:valAx>
        <c:axId val="802420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Nombre d'Incidents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2586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15</xdr:col>
      <xdr:colOff>581400</xdr:colOff>
      <xdr:row>27</xdr:row>
      <xdr:rowOff>86400</xdr:rowOff>
    </xdr:to>
    <xdr:graphicFrame>
      <xdr:nvGraphicFramePr>
        <xdr:cNvPr id="0" name="Chart 1"/>
        <xdr:cNvGraphicFramePr/>
      </xdr:nvGraphicFramePr>
      <xdr:xfrm>
        <a:off x="3994920" y="324000"/>
        <a:ext cx="79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H23" activeCellId="0" sqref="H2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9"/>
    <col collapsed="false" customWidth="true" hidden="false" outlineLevel="0" max="4" min="4" style="1" width="26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0"/>
  </cols>
  <sheetData>
    <row r="1" customFormat="false" ht="37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0" hidden="false" customHeight="true" outlineLevel="0" collapsed="false">
      <c r="A2" s="3" t="s">
        <v>9</v>
      </c>
      <c r="B2" s="3" t="s">
        <v>10</v>
      </c>
      <c r="C2" s="3" t="s">
        <v>11</v>
      </c>
      <c r="D2" s="4" t="s">
        <v>12</v>
      </c>
      <c r="E2" s="3" t="n">
        <v>22</v>
      </c>
      <c r="F2" s="3" t="n">
        <v>4</v>
      </c>
      <c r="G2" s="3" t="n">
        <v>13.8</v>
      </c>
      <c r="H2" s="3" t="n">
        <v>10</v>
      </c>
      <c r="I2" s="5" t="n">
        <f aca="false">G2-H2</f>
        <v>3.8</v>
      </c>
    </row>
    <row r="3" customFormat="false" ht="15" hidden="false" customHeight="false" outlineLevel="0" collapsed="false">
      <c r="A3" s="6" t="s">
        <v>13</v>
      </c>
      <c r="B3" s="6" t="s">
        <v>10</v>
      </c>
      <c r="C3" s="6" t="s">
        <v>14</v>
      </c>
      <c r="D3" s="7" t="s">
        <v>12</v>
      </c>
      <c r="E3" s="6" t="n">
        <v>42</v>
      </c>
      <c r="F3" s="6" t="n">
        <v>7</v>
      </c>
      <c r="G3" s="6" t="n">
        <v>12.3</v>
      </c>
      <c r="H3" s="6" t="n">
        <v>11.4</v>
      </c>
      <c r="I3" s="8" t="n">
        <f aca="false">G3-H3</f>
        <v>0.9</v>
      </c>
    </row>
    <row r="4" customFormat="false" ht="15" hidden="false" customHeight="false" outlineLevel="0" collapsed="false">
      <c r="A4" s="3" t="s">
        <v>15</v>
      </c>
      <c r="B4" s="3" t="s">
        <v>16</v>
      </c>
      <c r="C4" s="3" t="s">
        <v>14</v>
      </c>
      <c r="D4" s="4" t="s">
        <v>17</v>
      </c>
      <c r="E4" s="3" t="n">
        <v>6</v>
      </c>
      <c r="F4" s="3" t="n">
        <v>4</v>
      </c>
      <c r="G4" s="3" t="n">
        <v>17.7</v>
      </c>
      <c r="H4" s="3" t="n">
        <v>14</v>
      </c>
      <c r="I4" s="5" t="n">
        <f aca="false">G4-H4</f>
        <v>3.7</v>
      </c>
    </row>
    <row r="5" customFormat="false" ht="15" hidden="false" customHeight="false" outlineLevel="0" collapsed="false">
      <c r="A5" s="6" t="s">
        <v>18</v>
      </c>
      <c r="B5" s="6" t="s">
        <v>19</v>
      </c>
      <c r="C5" s="6" t="s">
        <v>20</v>
      </c>
      <c r="D5" s="7" t="s">
        <v>21</v>
      </c>
      <c r="E5" s="6" t="n">
        <v>42</v>
      </c>
      <c r="F5" s="6" t="n">
        <v>5</v>
      </c>
      <c r="G5" s="6" t="n">
        <v>18.5</v>
      </c>
      <c r="H5" s="6" t="n">
        <v>18</v>
      </c>
      <c r="I5" s="8" t="n">
        <f aca="false">G5-H5</f>
        <v>0.5</v>
      </c>
    </row>
    <row r="6" customFormat="false" ht="15" hidden="false" customHeight="false" outlineLevel="0" collapsed="false">
      <c r="A6" s="3" t="s">
        <v>22</v>
      </c>
      <c r="B6" s="3" t="s">
        <v>16</v>
      </c>
      <c r="C6" s="3" t="s">
        <v>23</v>
      </c>
      <c r="D6" s="4" t="s">
        <v>24</v>
      </c>
      <c r="E6" s="3" t="n">
        <v>22</v>
      </c>
      <c r="F6" s="3" t="n">
        <v>3</v>
      </c>
      <c r="G6" s="3" t="n">
        <v>13.7</v>
      </c>
      <c r="H6" s="3" t="n">
        <v>9.8</v>
      </c>
      <c r="I6" s="5" t="n">
        <f aca="false">G6-H6</f>
        <v>3.9</v>
      </c>
    </row>
    <row r="7" customFormat="false" ht="15" hidden="false" customHeight="false" outlineLevel="0" collapsed="false">
      <c r="A7" s="6" t="s">
        <v>25</v>
      </c>
      <c r="B7" s="6" t="s">
        <v>16</v>
      </c>
      <c r="C7" s="6" t="s">
        <v>11</v>
      </c>
      <c r="D7" s="7" t="s">
        <v>21</v>
      </c>
      <c r="E7" s="6" t="n">
        <v>11</v>
      </c>
      <c r="F7" s="6" t="n">
        <v>6</v>
      </c>
      <c r="G7" s="6" t="n">
        <v>18.8</v>
      </c>
      <c r="H7" s="6" t="n">
        <v>15.6</v>
      </c>
      <c r="I7" s="8" t="n">
        <f aca="false">G7-H7</f>
        <v>3.2</v>
      </c>
    </row>
    <row r="8" customFormat="false" ht="15" hidden="false" customHeight="false" outlineLevel="0" collapsed="false">
      <c r="A8" s="3" t="s">
        <v>26</v>
      </c>
      <c r="B8" s="3" t="s">
        <v>16</v>
      </c>
      <c r="C8" s="3" t="s">
        <v>27</v>
      </c>
      <c r="D8" s="4" t="s">
        <v>17</v>
      </c>
      <c r="E8" s="3" t="n">
        <v>12</v>
      </c>
      <c r="F8" s="3" t="n">
        <v>7</v>
      </c>
      <c r="G8" s="3" t="n">
        <v>12.6</v>
      </c>
      <c r="H8" s="3" t="n">
        <v>10.8</v>
      </c>
      <c r="I8" s="5" t="n">
        <f aca="false">G8-H8</f>
        <v>1.8</v>
      </c>
    </row>
    <row r="9" customFormat="false" ht="15" hidden="false" customHeight="false" outlineLevel="0" collapsed="false">
      <c r="A9" s="6" t="s">
        <v>28</v>
      </c>
      <c r="B9" s="6" t="s">
        <v>10</v>
      </c>
      <c r="C9" s="6" t="s">
        <v>29</v>
      </c>
      <c r="D9" s="7" t="s">
        <v>17</v>
      </c>
      <c r="E9" s="6" t="n">
        <v>17</v>
      </c>
      <c r="F9" s="6" t="n">
        <v>2</v>
      </c>
      <c r="G9" s="6" t="n">
        <v>12.4</v>
      </c>
      <c r="H9" s="6" t="n">
        <v>10.9</v>
      </c>
      <c r="I9" s="8" t="n">
        <f aca="false">G9-H9</f>
        <v>1.5</v>
      </c>
    </row>
    <row r="10" customFormat="false" ht="15" hidden="false" customHeight="false" outlineLevel="0" collapsed="false">
      <c r="A10" s="3" t="s">
        <v>30</v>
      </c>
      <c r="B10" s="3" t="s">
        <v>19</v>
      </c>
      <c r="C10" s="3" t="s">
        <v>11</v>
      </c>
      <c r="D10" s="4" t="s">
        <v>31</v>
      </c>
      <c r="E10" s="3" t="n">
        <v>11</v>
      </c>
      <c r="F10" s="3" t="n">
        <v>7</v>
      </c>
      <c r="G10" s="3" t="n">
        <v>14.2</v>
      </c>
      <c r="H10" s="3" t="n">
        <v>10.8</v>
      </c>
      <c r="I10" s="5" t="n">
        <f aca="false">G10-H10</f>
        <v>3.4</v>
      </c>
    </row>
    <row r="11" customFormat="false" ht="15" hidden="false" customHeight="false" outlineLevel="0" collapsed="false">
      <c r="A11" s="6" t="s">
        <v>32</v>
      </c>
      <c r="B11" s="6" t="s">
        <v>19</v>
      </c>
      <c r="C11" s="6" t="s">
        <v>33</v>
      </c>
      <c r="D11" s="7" t="s">
        <v>24</v>
      </c>
      <c r="E11" s="6" t="n">
        <v>27</v>
      </c>
      <c r="F11" s="6" t="n">
        <v>4</v>
      </c>
      <c r="G11" s="6" t="n">
        <v>17.4</v>
      </c>
      <c r="H11" s="6" t="n">
        <v>13.7</v>
      </c>
      <c r="I11" s="8" t="n">
        <f aca="false">G11-H11</f>
        <v>3.7</v>
      </c>
    </row>
    <row r="12" customFormat="false" ht="15" hidden="false" customHeight="false" outlineLevel="0" collapsed="false">
      <c r="A12" s="3" t="s">
        <v>34</v>
      </c>
      <c r="B12" s="3" t="s">
        <v>10</v>
      </c>
      <c r="C12" s="3" t="s">
        <v>11</v>
      </c>
      <c r="D12" s="4" t="s">
        <v>17</v>
      </c>
      <c r="E12" s="3" t="n">
        <v>45</v>
      </c>
      <c r="F12" s="3" t="n">
        <v>3</v>
      </c>
      <c r="G12" s="3" t="n">
        <v>16.3</v>
      </c>
      <c r="H12" s="3" t="n">
        <v>14.7</v>
      </c>
      <c r="I12" s="5" t="n">
        <f aca="false">G12-H12</f>
        <v>1.6</v>
      </c>
    </row>
    <row r="13" customFormat="false" ht="15" hidden="false" customHeight="false" outlineLevel="0" collapsed="false">
      <c r="A13" s="6" t="s">
        <v>35</v>
      </c>
      <c r="B13" s="6" t="s">
        <v>19</v>
      </c>
      <c r="C13" s="6" t="s">
        <v>23</v>
      </c>
      <c r="D13" s="7" t="s">
        <v>24</v>
      </c>
      <c r="E13" s="6" t="n">
        <v>45</v>
      </c>
      <c r="F13" s="6" t="n">
        <v>4</v>
      </c>
      <c r="G13" s="6" t="n">
        <v>17.5</v>
      </c>
      <c r="H13" s="6" t="n">
        <v>13.2</v>
      </c>
      <c r="I13" s="8" t="n">
        <f aca="false">G13-H13</f>
        <v>4.3</v>
      </c>
    </row>
    <row r="14" customFormat="false" ht="15" hidden="false" customHeight="false" outlineLevel="0" collapsed="false">
      <c r="A14" s="3" t="s">
        <v>36</v>
      </c>
      <c r="B14" s="3" t="s">
        <v>16</v>
      </c>
      <c r="C14" s="3" t="s">
        <v>20</v>
      </c>
      <c r="D14" s="4" t="s">
        <v>12</v>
      </c>
      <c r="E14" s="3" t="n">
        <v>25</v>
      </c>
      <c r="F14" s="3" t="n">
        <v>7</v>
      </c>
      <c r="G14" s="3" t="n">
        <v>14.1</v>
      </c>
      <c r="H14" s="3" t="n">
        <v>12.7</v>
      </c>
      <c r="I14" s="5" t="n">
        <f aca="false">G14-H14</f>
        <v>1.4</v>
      </c>
    </row>
    <row r="15" customFormat="false" ht="15" hidden="false" customHeight="false" outlineLevel="0" collapsed="false">
      <c r="A15" s="6" t="s">
        <v>37</v>
      </c>
      <c r="B15" s="6" t="s">
        <v>10</v>
      </c>
      <c r="C15" s="6" t="s">
        <v>29</v>
      </c>
      <c r="D15" s="7" t="s">
        <v>31</v>
      </c>
      <c r="E15" s="6" t="n">
        <v>36</v>
      </c>
      <c r="F15" s="6" t="n">
        <v>7</v>
      </c>
      <c r="G15" s="6" t="n">
        <v>19.1</v>
      </c>
      <c r="H15" s="6" t="n">
        <v>15.7</v>
      </c>
      <c r="I15" s="8" t="n">
        <f aca="false">G15-H15</f>
        <v>3.4</v>
      </c>
    </row>
    <row r="16" customFormat="false" ht="15" hidden="false" customHeight="false" outlineLevel="0" collapsed="false">
      <c r="A16" s="3" t="s">
        <v>38</v>
      </c>
      <c r="B16" s="3" t="s">
        <v>16</v>
      </c>
      <c r="C16" s="3" t="s">
        <v>39</v>
      </c>
      <c r="D16" s="4" t="s">
        <v>31</v>
      </c>
      <c r="E16" s="3" t="n">
        <v>20</v>
      </c>
      <c r="F16" s="3" t="n">
        <v>5</v>
      </c>
      <c r="G16" s="3" t="n">
        <v>18</v>
      </c>
      <c r="H16" s="3" t="n">
        <v>15.6</v>
      </c>
      <c r="I16" s="5" t="n">
        <f aca="false">G16-H16</f>
        <v>2.4</v>
      </c>
    </row>
    <row r="17" customFormat="false" ht="15" hidden="false" customHeight="false" outlineLevel="0" collapsed="false">
      <c r="A17" s="6" t="s">
        <v>40</v>
      </c>
      <c r="B17" s="6" t="s">
        <v>10</v>
      </c>
      <c r="C17" s="6" t="s">
        <v>23</v>
      </c>
      <c r="D17" s="7" t="s">
        <v>24</v>
      </c>
      <c r="E17" s="6" t="n">
        <v>19</v>
      </c>
      <c r="F17" s="6" t="n">
        <v>3</v>
      </c>
      <c r="G17" s="6" t="n">
        <v>16.1</v>
      </c>
      <c r="H17" s="6" t="n">
        <v>15.2</v>
      </c>
      <c r="I17" s="8" t="n">
        <f aca="false">G17-H17</f>
        <v>0.900000000000002</v>
      </c>
    </row>
    <row r="18" customFormat="false" ht="15" hidden="false" customHeight="false" outlineLevel="0" collapsed="false">
      <c r="A18" s="3" t="s">
        <v>41</v>
      </c>
      <c r="B18" s="3" t="s">
        <v>16</v>
      </c>
      <c r="C18" s="3" t="s">
        <v>11</v>
      </c>
      <c r="D18" s="4" t="s">
        <v>31</v>
      </c>
      <c r="E18" s="3" t="n">
        <v>45</v>
      </c>
      <c r="F18" s="3" t="n">
        <v>3</v>
      </c>
      <c r="G18" s="3" t="n">
        <v>18.3</v>
      </c>
      <c r="H18" s="3" t="n">
        <v>15.9</v>
      </c>
      <c r="I18" s="5" t="n">
        <f aca="false">G18-H18</f>
        <v>2.4</v>
      </c>
    </row>
    <row r="19" customFormat="false" ht="15" hidden="false" customHeight="false" outlineLevel="0" collapsed="false">
      <c r="A19" s="6" t="s">
        <v>42</v>
      </c>
      <c r="B19" s="6" t="s">
        <v>16</v>
      </c>
      <c r="C19" s="6" t="s">
        <v>23</v>
      </c>
      <c r="D19" s="7" t="s">
        <v>21</v>
      </c>
      <c r="E19" s="6" t="n">
        <v>43</v>
      </c>
      <c r="F19" s="6" t="n">
        <v>8</v>
      </c>
      <c r="G19" s="6" t="n">
        <v>16.2</v>
      </c>
      <c r="H19" s="6" t="n">
        <v>11.3</v>
      </c>
      <c r="I19" s="8" t="n">
        <f aca="false">G19-H19</f>
        <v>4.9</v>
      </c>
    </row>
    <row r="20" customFormat="false" ht="15" hidden="false" customHeight="false" outlineLevel="0" collapsed="false">
      <c r="A20" s="3" t="s">
        <v>43</v>
      </c>
      <c r="B20" s="3" t="s">
        <v>16</v>
      </c>
      <c r="C20" s="3" t="s">
        <v>11</v>
      </c>
      <c r="D20" s="4" t="s">
        <v>17</v>
      </c>
      <c r="E20" s="3" t="n">
        <v>22</v>
      </c>
      <c r="F20" s="3" t="n">
        <v>6</v>
      </c>
      <c r="G20" s="3" t="n">
        <v>12.9</v>
      </c>
      <c r="H20" s="3" t="n">
        <v>10.4</v>
      </c>
      <c r="I20" s="5" t="n">
        <f aca="false">G20-H20</f>
        <v>2.5</v>
      </c>
    </row>
    <row r="21" customFormat="false" ht="15" hidden="false" customHeight="false" outlineLevel="0" collapsed="false">
      <c r="A21" s="6" t="s">
        <v>44</v>
      </c>
      <c r="B21" s="6" t="s">
        <v>19</v>
      </c>
      <c r="C21" s="6" t="s">
        <v>45</v>
      </c>
      <c r="D21" s="7" t="s">
        <v>24</v>
      </c>
      <c r="E21" s="6" t="n">
        <v>37</v>
      </c>
      <c r="F21" s="6" t="n">
        <v>3</v>
      </c>
      <c r="G21" s="6" t="n">
        <v>16.1</v>
      </c>
      <c r="H21" s="6" t="n">
        <v>15.1</v>
      </c>
      <c r="I21" s="8" t="n">
        <f aca="false">G21-H21</f>
        <v>1</v>
      </c>
    </row>
    <row r="22" customFormat="false" ht="15" hidden="false" customHeight="false" outlineLevel="0" collapsed="false"/>
  </sheetData>
  <conditionalFormatting sqref="I2:I21">
    <cfRule type="colorScale" priority="2">
      <colorScale>
        <cfvo type="num" val="0"/>
        <cfvo type="num" val="2.5"/>
        <cfvo type="num" val="5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F18" activeCellId="0" sqref="F1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3"/>
    <col collapsed="false" customWidth="true" hidden="false" outlineLevel="0" max="4" min="4" style="1" width="26"/>
    <col collapsed="false" customWidth="true" hidden="false" outlineLevel="0" max="5" min="5" style="1" width="16"/>
  </cols>
  <sheetData>
    <row r="1" customFormat="false" ht="37.5" hidden="false" customHeight="true" outlineLevel="0" collapsed="false">
      <c r="A1" s="9" t="s">
        <v>46</v>
      </c>
      <c r="B1" s="9"/>
      <c r="C1" s="9"/>
      <c r="D1" s="9"/>
      <c r="E1" s="9"/>
    </row>
    <row r="3" customFormat="false" ht="27.75" hidden="false" customHeight="true" outlineLevel="0" collapsed="false">
      <c r="A3" s="10" t="s">
        <v>47</v>
      </c>
      <c r="B3" s="10"/>
    </row>
    <row r="4" customFormat="false" ht="21.75" hidden="false" customHeight="true" outlineLevel="0" collapsed="false">
      <c r="A4" s="11" t="s">
        <v>48</v>
      </c>
      <c r="B4" s="12" t="n">
        <f aca="false">AVERAGE(Données!E2:E21)</f>
        <v>27.45</v>
      </c>
    </row>
    <row r="6" customFormat="false" ht="27.75" hidden="false" customHeight="true" outlineLevel="0" collapsed="false">
      <c r="A6" s="10" t="s">
        <v>49</v>
      </c>
      <c r="B6" s="10"/>
    </row>
    <row r="7" customFormat="false" ht="21.75" hidden="false" customHeight="true" outlineLevel="0" collapsed="false">
      <c r="A7" s="13" t="s">
        <v>50</v>
      </c>
      <c r="B7" s="14" t="n">
        <f aca="false">MIN(Données!E2:E21)</f>
        <v>6</v>
      </c>
    </row>
    <row r="8" customFormat="false" ht="21.75" hidden="false" customHeight="true" outlineLevel="0" collapsed="false">
      <c r="A8" s="11" t="s">
        <v>51</v>
      </c>
      <c r="B8" s="14" t="n">
        <f aca="false">MAX(Données!E2:E21)</f>
        <v>45</v>
      </c>
    </row>
    <row r="10" customFormat="false" ht="27.75" hidden="false" customHeight="true" outlineLevel="0" collapsed="false">
      <c r="A10" s="10" t="s">
        <v>52</v>
      </c>
      <c r="B10" s="10"/>
    </row>
    <row r="11" customFormat="false" ht="15" hidden="false" customHeight="false" outlineLevel="0" collapsed="false">
      <c r="A11" s="15" t="s">
        <v>3</v>
      </c>
      <c r="B11" s="15" t="s">
        <v>53</v>
      </c>
    </row>
    <row r="12" customFormat="false" ht="15" hidden="false" customHeight="false" outlineLevel="0" collapsed="false">
      <c r="A12" s="7" t="s">
        <v>12</v>
      </c>
      <c r="B12" s="16" t="n">
        <f aca="false">COUNTIF(Données!D$2:D$21,A12)</f>
        <v>3</v>
      </c>
    </row>
    <row r="13" customFormat="false" ht="15" hidden="false" customHeight="false" outlineLevel="0" collapsed="false">
      <c r="A13" s="4" t="s">
        <v>31</v>
      </c>
      <c r="B13" s="14" t="n">
        <f aca="false">COUNTIF(Données!D$2:D$21,A13)</f>
        <v>4</v>
      </c>
    </row>
    <row r="14" customFormat="false" ht="15" hidden="false" customHeight="false" outlineLevel="0" collapsed="false">
      <c r="A14" s="7" t="s">
        <v>24</v>
      </c>
      <c r="B14" s="16" t="n">
        <f aca="false">COUNTIF(Données!D$2:D$21,A14)</f>
        <v>5</v>
      </c>
    </row>
    <row r="15" customFormat="false" ht="15" hidden="false" customHeight="false" outlineLevel="0" collapsed="false">
      <c r="A15" s="4" t="s">
        <v>21</v>
      </c>
      <c r="B15" s="14" t="n">
        <f aca="false">COUNTIF(Données!D$2:D$21,A15)</f>
        <v>3</v>
      </c>
    </row>
    <row r="16" customFormat="false" ht="15" hidden="false" customHeight="false" outlineLevel="0" collapsed="false">
      <c r="A16" s="7" t="s">
        <v>17</v>
      </c>
      <c r="B16" s="16" t="n">
        <f aca="false">COUNTIF(Données!D$2:D$21,A16)</f>
        <v>5</v>
      </c>
    </row>
    <row r="18" customFormat="false" ht="27.75" hidden="false" customHeight="true" outlineLevel="0" collapsed="false">
      <c r="A18" s="10" t="s">
        <v>54</v>
      </c>
      <c r="B18" s="10"/>
    </row>
    <row r="19" customFormat="false" ht="15" hidden="false" customHeight="false" outlineLevel="0" collapsed="false">
      <c r="A19" s="15" t="s">
        <v>2</v>
      </c>
      <c r="B19" s="15" t="s">
        <v>53</v>
      </c>
    </row>
    <row r="20" customFormat="false" ht="15" hidden="false" customHeight="false" outlineLevel="0" collapsed="false">
      <c r="A20" s="6" t="s">
        <v>45</v>
      </c>
      <c r="B20" s="16" t="n">
        <f aca="false">COUNTIF(Données!C$2:C$21,A20)</f>
        <v>1</v>
      </c>
    </row>
    <row r="21" customFormat="false" ht="15" hidden="false" customHeight="false" outlineLevel="0" collapsed="false">
      <c r="A21" s="3" t="s">
        <v>11</v>
      </c>
      <c r="B21" s="14" t="n">
        <f aca="false">COUNTIF(Données!C$2:C$21,A21)</f>
        <v>6</v>
      </c>
    </row>
    <row r="22" customFormat="false" ht="15" hidden="false" customHeight="false" outlineLevel="0" collapsed="false">
      <c r="A22" s="6" t="s">
        <v>33</v>
      </c>
      <c r="B22" s="16" t="n">
        <f aca="false">COUNTIF(Données!C$2:C$21,A22)</f>
        <v>1</v>
      </c>
    </row>
    <row r="23" customFormat="false" ht="15" hidden="false" customHeight="false" outlineLevel="0" collapsed="false">
      <c r="A23" s="3" t="s">
        <v>20</v>
      </c>
      <c r="B23" s="14" t="n">
        <f aca="false">COUNTIF(Données!C$2:C$21,A23)</f>
        <v>2</v>
      </c>
    </row>
    <row r="24" customFormat="false" ht="15" hidden="false" customHeight="false" outlineLevel="0" collapsed="false">
      <c r="A24" s="6" t="s">
        <v>39</v>
      </c>
      <c r="B24" s="16" t="n">
        <f aca="false">COUNTIF(Données!C$2:C$21,A24)</f>
        <v>1</v>
      </c>
    </row>
    <row r="25" customFormat="false" ht="15" hidden="false" customHeight="false" outlineLevel="0" collapsed="false">
      <c r="A25" s="3" t="s">
        <v>29</v>
      </c>
      <c r="B25" s="14" t="n">
        <f aca="false">COUNTIF(Données!C$2:C$21,A25)</f>
        <v>2</v>
      </c>
    </row>
    <row r="26" customFormat="false" ht="15" hidden="false" customHeight="false" outlineLevel="0" collapsed="false">
      <c r="A26" s="6" t="s">
        <v>23</v>
      </c>
      <c r="B26" s="16" t="n">
        <f aca="false">COUNTIF(Données!C$2:C$21,A26)</f>
        <v>4</v>
      </c>
    </row>
    <row r="27" customFormat="false" ht="15" hidden="false" customHeight="false" outlineLevel="0" collapsed="false">
      <c r="A27" s="3" t="s">
        <v>27</v>
      </c>
      <c r="B27" s="14" t="n">
        <f aca="false">COUNTIF(Données!C$2:C$21,A27)</f>
        <v>1</v>
      </c>
    </row>
    <row r="28" customFormat="false" ht="15" hidden="false" customHeight="false" outlineLevel="0" collapsed="false">
      <c r="A28" s="6" t="s">
        <v>14</v>
      </c>
      <c r="B28" s="16" t="n">
        <f aca="false">COUNTIF(Données!C$2:C$21,A28)</f>
        <v>2</v>
      </c>
    </row>
    <row r="30" customFormat="false" ht="21.75" hidden="false" customHeight="true" outlineLevel="0" collapsed="false">
      <c r="A30" s="17" t="s">
        <v>55</v>
      </c>
      <c r="B30" s="18" t="str">
        <f aca="false">INDEX(A20:A28,MATCH(MAX(B20:B28),B20:B28,0))</f>
        <v>102</v>
      </c>
    </row>
    <row r="32" customFormat="false" ht="27.75" hidden="false" customHeight="true" outlineLevel="0" collapsed="false">
      <c r="A32" s="10" t="s">
        <v>56</v>
      </c>
      <c r="B32" s="10"/>
    </row>
    <row r="33" customFormat="false" ht="21.75" hidden="false" customHeight="true" outlineLevel="0" collapsed="false">
      <c r="A33" s="11" t="s">
        <v>56</v>
      </c>
      <c r="B33" s="12" t="n">
        <f aca="false">AVERAGE(Données!I2:I21)</f>
        <v>2.56</v>
      </c>
    </row>
    <row r="35" customFormat="false" ht="27.75" hidden="false" customHeight="true" outlineLevel="0" collapsed="false">
      <c r="A35" s="10" t="s">
        <v>57</v>
      </c>
      <c r="B35" s="10"/>
    </row>
    <row r="36" customFormat="false" ht="21.75" hidden="false" customHeight="true" outlineLevel="0" collapsed="false">
      <c r="A36" s="11" t="s">
        <v>58</v>
      </c>
      <c r="B36" s="14" t="n">
        <f aca="false">COUNTIF(Données!I2:I21,"&gt;2")</f>
        <v>12</v>
      </c>
    </row>
  </sheetData>
  <mergeCells count="7">
    <mergeCell ref="A1:E1"/>
    <mergeCell ref="A3:B3"/>
    <mergeCell ref="A6:B6"/>
    <mergeCell ref="A10:B10"/>
    <mergeCell ref="A18:B18"/>
    <mergeCell ref="A32:B32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4" activeCellId="0" sqref="A2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9"/>
    <col collapsed="false" customWidth="true" hidden="false" outlineLevel="0" max="4" min="4" style="1" width="26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0"/>
    <col collapsed="false" customWidth="true" hidden="false" outlineLevel="0" max="10" min="10" style="1" width="12"/>
  </cols>
  <sheetData>
    <row r="1" customFormat="false" ht="37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59</v>
      </c>
    </row>
    <row r="2" customFormat="false" ht="30" hidden="false" customHeight="true" outlineLevel="0" collapsed="false">
      <c r="A2" s="3" t="s">
        <v>9</v>
      </c>
      <c r="B2" s="3" t="s">
        <v>10</v>
      </c>
      <c r="C2" s="3" t="s">
        <v>11</v>
      </c>
      <c r="D2" s="4" t="s">
        <v>12</v>
      </c>
      <c r="E2" s="3" t="n">
        <v>22</v>
      </c>
      <c r="F2" s="3" t="n">
        <v>4</v>
      </c>
      <c r="G2" s="3" t="n">
        <v>13.8</v>
      </c>
      <c r="H2" s="3" t="n">
        <v>10</v>
      </c>
      <c r="I2" s="5" t="n">
        <f aca="false">G2-H2</f>
        <v>3.8</v>
      </c>
      <c r="J2" s="19" t="str">
        <f aca="false">IF(I2&lt;=1,"Faible",IF(AND(I2&gt;=2,I2&lt;=3),"Moyen","Élevé"))</f>
        <v>Élevé</v>
      </c>
    </row>
    <row r="3" customFormat="false" ht="15" hidden="false" customHeight="false" outlineLevel="0" collapsed="false">
      <c r="A3" s="6" t="s">
        <v>13</v>
      </c>
      <c r="B3" s="6" t="s">
        <v>10</v>
      </c>
      <c r="C3" s="6" t="s">
        <v>14</v>
      </c>
      <c r="D3" s="7" t="s">
        <v>12</v>
      </c>
      <c r="E3" s="6" t="n">
        <v>42</v>
      </c>
      <c r="F3" s="6" t="n">
        <v>7</v>
      </c>
      <c r="G3" s="6" t="n">
        <v>12.3</v>
      </c>
      <c r="H3" s="6" t="n">
        <v>11.4</v>
      </c>
      <c r="I3" s="8" t="n">
        <f aca="false">G3-H3</f>
        <v>0.9</v>
      </c>
      <c r="J3" s="20" t="str">
        <f aca="false">IF(I3&lt;=1,"Faible",IF(AND(I3&gt;=2,I3&lt;=3),"Moyen","Élevé"))</f>
        <v>Faible</v>
      </c>
    </row>
    <row r="4" customFormat="false" ht="15" hidden="false" customHeight="false" outlineLevel="0" collapsed="false">
      <c r="A4" s="3" t="s">
        <v>15</v>
      </c>
      <c r="B4" s="3" t="s">
        <v>16</v>
      </c>
      <c r="C4" s="3" t="s">
        <v>14</v>
      </c>
      <c r="D4" s="4" t="s">
        <v>17</v>
      </c>
      <c r="E4" s="3" t="n">
        <v>6</v>
      </c>
      <c r="F4" s="3" t="n">
        <v>4</v>
      </c>
      <c r="G4" s="3" t="n">
        <v>17.7</v>
      </c>
      <c r="H4" s="3" t="n">
        <v>14</v>
      </c>
      <c r="I4" s="5" t="n">
        <f aca="false">G4-H4</f>
        <v>3.7</v>
      </c>
      <c r="J4" s="19" t="str">
        <f aca="false">IF(I4&lt;=1,"Faible",IF(AND(I4&gt;=2,I4&lt;=3),"Moyen","Élevé"))</f>
        <v>Élevé</v>
      </c>
    </row>
    <row r="5" customFormat="false" ht="15" hidden="false" customHeight="false" outlineLevel="0" collapsed="false">
      <c r="A5" s="6" t="s">
        <v>18</v>
      </c>
      <c r="B5" s="6" t="s">
        <v>19</v>
      </c>
      <c r="C5" s="6" t="s">
        <v>20</v>
      </c>
      <c r="D5" s="7" t="s">
        <v>21</v>
      </c>
      <c r="E5" s="6" t="n">
        <v>42</v>
      </c>
      <c r="F5" s="6" t="n">
        <v>5</v>
      </c>
      <c r="G5" s="6" t="n">
        <v>18.5</v>
      </c>
      <c r="H5" s="6" t="n">
        <v>18</v>
      </c>
      <c r="I5" s="8" t="n">
        <f aca="false">G5-H5</f>
        <v>0.5</v>
      </c>
      <c r="J5" s="20" t="str">
        <f aca="false">IF(I5&lt;=1,"Faible",IF(AND(I5&gt;=2,I5&lt;=3),"Moyen","Élevé"))</f>
        <v>Faible</v>
      </c>
    </row>
    <row r="6" customFormat="false" ht="15" hidden="false" customHeight="false" outlineLevel="0" collapsed="false">
      <c r="A6" s="3" t="s">
        <v>22</v>
      </c>
      <c r="B6" s="3" t="s">
        <v>16</v>
      </c>
      <c r="C6" s="3" t="s">
        <v>23</v>
      </c>
      <c r="D6" s="4" t="s">
        <v>24</v>
      </c>
      <c r="E6" s="3" t="n">
        <v>22</v>
      </c>
      <c r="F6" s="3" t="n">
        <v>3</v>
      </c>
      <c r="G6" s="3" t="n">
        <v>13.7</v>
      </c>
      <c r="H6" s="3" t="n">
        <v>9.8</v>
      </c>
      <c r="I6" s="5" t="n">
        <f aca="false">G6-H6</f>
        <v>3.9</v>
      </c>
      <c r="J6" s="19" t="str">
        <f aca="false">IF(I6&lt;=1,"Faible",IF(AND(I6&gt;=2,I6&lt;=3),"Moyen","Élevé"))</f>
        <v>Élevé</v>
      </c>
    </row>
    <row r="7" customFormat="false" ht="15" hidden="false" customHeight="false" outlineLevel="0" collapsed="false">
      <c r="A7" s="6" t="s">
        <v>25</v>
      </c>
      <c r="B7" s="6" t="s">
        <v>16</v>
      </c>
      <c r="C7" s="6" t="s">
        <v>11</v>
      </c>
      <c r="D7" s="7" t="s">
        <v>21</v>
      </c>
      <c r="E7" s="6" t="n">
        <v>11</v>
      </c>
      <c r="F7" s="6" t="n">
        <v>6</v>
      </c>
      <c r="G7" s="6" t="n">
        <v>18.8</v>
      </c>
      <c r="H7" s="6" t="n">
        <v>15.6</v>
      </c>
      <c r="I7" s="8" t="n">
        <f aca="false">G7-H7</f>
        <v>3.2</v>
      </c>
      <c r="J7" s="20" t="str">
        <f aca="false">IF(I7&lt;=1,"Faible",IF(AND(I7&gt;=2,I7&lt;=3),"Moyen","Élevé"))</f>
        <v>Élevé</v>
      </c>
    </row>
    <row r="8" customFormat="false" ht="15" hidden="false" customHeight="false" outlineLevel="0" collapsed="false">
      <c r="A8" s="3" t="s">
        <v>26</v>
      </c>
      <c r="B8" s="3" t="s">
        <v>16</v>
      </c>
      <c r="C8" s="3" t="s">
        <v>27</v>
      </c>
      <c r="D8" s="4" t="s">
        <v>17</v>
      </c>
      <c r="E8" s="3" t="n">
        <v>12</v>
      </c>
      <c r="F8" s="3" t="n">
        <v>7</v>
      </c>
      <c r="G8" s="3" t="n">
        <v>12.6</v>
      </c>
      <c r="H8" s="3" t="n">
        <v>10.8</v>
      </c>
      <c r="I8" s="5" t="n">
        <f aca="false">G8-H8</f>
        <v>1.8</v>
      </c>
      <c r="J8" s="19" t="str">
        <f aca="false">IF(I8&lt;=1,"Faible",IF(AND(I8&gt;=2,I8&lt;=3),"Moyen","Élevé"))</f>
        <v>Élevé</v>
      </c>
    </row>
    <row r="9" customFormat="false" ht="15" hidden="false" customHeight="false" outlineLevel="0" collapsed="false">
      <c r="A9" s="6" t="s">
        <v>28</v>
      </c>
      <c r="B9" s="6" t="s">
        <v>10</v>
      </c>
      <c r="C9" s="6" t="s">
        <v>29</v>
      </c>
      <c r="D9" s="7" t="s">
        <v>17</v>
      </c>
      <c r="E9" s="6" t="n">
        <v>17</v>
      </c>
      <c r="F9" s="6" t="n">
        <v>2</v>
      </c>
      <c r="G9" s="6" t="n">
        <v>12.4</v>
      </c>
      <c r="H9" s="6" t="n">
        <v>10.9</v>
      </c>
      <c r="I9" s="8" t="n">
        <f aca="false">G9-H9</f>
        <v>1.5</v>
      </c>
      <c r="J9" s="20" t="str">
        <f aca="false">IF(I9&lt;=1,"Faible",IF(AND(I9&gt;=2,I9&lt;=3),"Moyen","Élevé"))</f>
        <v>Élevé</v>
      </c>
    </row>
    <row r="10" customFormat="false" ht="15" hidden="false" customHeight="false" outlineLevel="0" collapsed="false">
      <c r="A10" s="3" t="s">
        <v>30</v>
      </c>
      <c r="B10" s="3" t="s">
        <v>19</v>
      </c>
      <c r="C10" s="3" t="s">
        <v>11</v>
      </c>
      <c r="D10" s="4" t="s">
        <v>31</v>
      </c>
      <c r="E10" s="3" t="n">
        <v>11</v>
      </c>
      <c r="F10" s="3" t="n">
        <v>7</v>
      </c>
      <c r="G10" s="3" t="n">
        <v>14.2</v>
      </c>
      <c r="H10" s="3" t="n">
        <v>10.8</v>
      </c>
      <c r="I10" s="5" t="n">
        <f aca="false">G10-H10</f>
        <v>3.4</v>
      </c>
      <c r="J10" s="19" t="str">
        <f aca="false">IF(I10&lt;=1,"Faible",IF(AND(I10&gt;=2,I10&lt;=3),"Moyen","Élevé"))</f>
        <v>Élevé</v>
      </c>
    </row>
    <row r="11" customFormat="false" ht="15" hidden="false" customHeight="false" outlineLevel="0" collapsed="false">
      <c r="A11" s="6" t="s">
        <v>32</v>
      </c>
      <c r="B11" s="6" t="s">
        <v>19</v>
      </c>
      <c r="C11" s="6" t="s">
        <v>33</v>
      </c>
      <c r="D11" s="7" t="s">
        <v>24</v>
      </c>
      <c r="E11" s="6" t="n">
        <v>27</v>
      </c>
      <c r="F11" s="6" t="n">
        <v>4</v>
      </c>
      <c r="G11" s="6" t="n">
        <v>17.4</v>
      </c>
      <c r="H11" s="6" t="n">
        <v>13.7</v>
      </c>
      <c r="I11" s="8" t="n">
        <f aca="false">G11-H11</f>
        <v>3.7</v>
      </c>
      <c r="J11" s="20" t="str">
        <f aca="false">IF(I11&lt;=1,"Faible",IF(AND(I11&gt;=2,I11&lt;=3),"Moyen","Élevé"))</f>
        <v>Élevé</v>
      </c>
    </row>
    <row r="12" customFormat="false" ht="15" hidden="false" customHeight="false" outlineLevel="0" collapsed="false">
      <c r="A12" s="3" t="s">
        <v>34</v>
      </c>
      <c r="B12" s="3" t="s">
        <v>10</v>
      </c>
      <c r="C12" s="3" t="s">
        <v>11</v>
      </c>
      <c r="D12" s="4" t="s">
        <v>17</v>
      </c>
      <c r="E12" s="3" t="n">
        <v>45</v>
      </c>
      <c r="F12" s="3" t="n">
        <v>3</v>
      </c>
      <c r="G12" s="3" t="n">
        <v>16.3</v>
      </c>
      <c r="H12" s="3" t="n">
        <v>14.7</v>
      </c>
      <c r="I12" s="5" t="n">
        <f aca="false">G12-H12</f>
        <v>1.6</v>
      </c>
      <c r="J12" s="19" t="str">
        <f aca="false">IF(I12&lt;=1,"Faible",IF(AND(I12&gt;=2,I12&lt;=3),"Moyen","Élevé"))</f>
        <v>Élevé</v>
      </c>
    </row>
    <row r="13" customFormat="false" ht="15" hidden="false" customHeight="false" outlineLevel="0" collapsed="false">
      <c r="A13" s="6" t="s">
        <v>35</v>
      </c>
      <c r="B13" s="6" t="s">
        <v>19</v>
      </c>
      <c r="C13" s="6" t="s">
        <v>23</v>
      </c>
      <c r="D13" s="7" t="s">
        <v>24</v>
      </c>
      <c r="E13" s="6" t="n">
        <v>45</v>
      </c>
      <c r="F13" s="6" t="n">
        <v>4</v>
      </c>
      <c r="G13" s="6" t="n">
        <v>17.5</v>
      </c>
      <c r="H13" s="6" t="n">
        <v>13.2</v>
      </c>
      <c r="I13" s="8" t="n">
        <f aca="false">G13-H13</f>
        <v>4.3</v>
      </c>
      <c r="J13" s="20" t="str">
        <f aca="false">IF(I13&lt;=1,"Faible",IF(AND(I13&gt;=2,I13&lt;=3),"Moyen","Élevé"))</f>
        <v>Élevé</v>
      </c>
    </row>
    <row r="14" customFormat="false" ht="15" hidden="false" customHeight="false" outlineLevel="0" collapsed="false">
      <c r="A14" s="3" t="s">
        <v>36</v>
      </c>
      <c r="B14" s="3" t="s">
        <v>16</v>
      </c>
      <c r="C14" s="3" t="s">
        <v>20</v>
      </c>
      <c r="D14" s="4" t="s">
        <v>12</v>
      </c>
      <c r="E14" s="3" t="n">
        <v>25</v>
      </c>
      <c r="F14" s="3" t="n">
        <v>7</v>
      </c>
      <c r="G14" s="3" t="n">
        <v>14.1</v>
      </c>
      <c r="H14" s="3" t="n">
        <v>12.7</v>
      </c>
      <c r="I14" s="5" t="n">
        <f aca="false">G14-H14</f>
        <v>1.4</v>
      </c>
      <c r="J14" s="19" t="str">
        <f aca="false">IF(I14&lt;=1,"Faible",IF(AND(I14&gt;=2,I14&lt;=3),"Moyen","Élevé"))</f>
        <v>Élevé</v>
      </c>
    </row>
    <row r="15" customFormat="false" ht="15" hidden="false" customHeight="false" outlineLevel="0" collapsed="false">
      <c r="A15" s="6" t="s">
        <v>37</v>
      </c>
      <c r="B15" s="6" t="s">
        <v>10</v>
      </c>
      <c r="C15" s="6" t="s">
        <v>29</v>
      </c>
      <c r="D15" s="7" t="s">
        <v>31</v>
      </c>
      <c r="E15" s="6" t="n">
        <v>36</v>
      </c>
      <c r="F15" s="6" t="n">
        <v>7</v>
      </c>
      <c r="G15" s="6" t="n">
        <v>19.1</v>
      </c>
      <c r="H15" s="6" t="n">
        <v>15.7</v>
      </c>
      <c r="I15" s="8" t="n">
        <f aca="false">G15-H15</f>
        <v>3.4</v>
      </c>
      <c r="J15" s="20" t="str">
        <f aca="false">IF(I15&lt;=1,"Faible",IF(AND(I15&gt;=2,I15&lt;=3),"Moyen","Élevé"))</f>
        <v>Élevé</v>
      </c>
    </row>
    <row r="16" customFormat="false" ht="15" hidden="false" customHeight="false" outlineLevel="0" collapsed="false">
      <c r="A16" s="3" t="s">
        <v>38</v>
      </c>
      <c r="B16" s="3" t="s">
        <v>16</v>
      </c>
      <c r="C16" s="3" t="s">
        <v>39</v>
      </c>
      <c r="D16" s="4" t="s">
        <v>31</v>
      </c>
      <c r="E16" s="3" t="n">
        <v>20</v>
      </c>
      <c r="F16" s="3" t="n">
        <v>5</v>
      </c>
      <c r="G16" s="3" t="n">
        <v>18</v>
      </c>
      <c r="H16" s="3" t="n">
        <v>15.6</v>
      </c>
      <c r="I16" s="5" t="n">
        <f aca="false">G16-H16</f>
        <v>2.4</v>
      </c>
      <c r="J16" s="19" t="str">
        <f aca="false">IF(I16&lt;=1,"Faible",IF(AND(I16&gt;=2,I16&lt;=3),"Moyen","Élevé"))</f>
        <v>Moyen</v>
      </c>
    </row>
    <row r="17" customFormat="false" ht="15" hidden="false" customHeight="false" outlineLevel="0" collapsed="false">
      <c r="A17" s="6" t="s">
        <v>40</v>
      </c>
      <c r="B17" s="6" t="s">
        <v>10</v>
      </c>
      <c r="C17" s="6" t="s">
        <v>23</v>
      </c>
      <c r="D17" s="7" t="s">
        <v>24</v>
      </c>
      <c r="E17" s="6" t="n">
        <v>19</v>
      </c>
      <c r="F17" s="6" t="n">
        <v>3</v>
      </c>
      <c r="G17" s="6" t="n">
        <v>16.1</v>
      </c>
      <c r="H17" s="6" t="n">
        <v>15.2</v>
      </c>
      <c r="I17" s="8" t="n">
        <f aca="false">G17-H17</f>
        <v>0.900000000000002</v>
      </c>
      <c r="J17" s="20" t="str">
        <f aca="false">IF(I17&lt;=1,"Faible",IF(AND(I17&gt;=2,I17&lt;=3),"Moyen","Élevé"))</f>
        <v>Faible</v>
      </c>
    </row>
    <row r="18" customFormat="false" ht="15" hidden="false" customHeight="false" outlineLevel="0" collapsed="false">
      <c r="A18" s="3" t="s">
        <v>41</v>
      </c>
      <c r="B18" s="3" t="s">
        <v>16</v>
      </c>
      <c r="C18" s="3" t="s">
        <v>11</v>
      </c>
      <c r="D18" s="4" t="s">
        <v>31</v>
      </c>
      <c r="E18" s="3" t="n">
        <v>45</v>
      </c>
      <c r="F18" s="3" t="n">
        <v>3</v>
      </c>
      <c r="G18" s="3" t="n">
        <v>18.3</v>
      </c>
      <c r="H18" s="3" t="n">
        <v>15.9</v>
      </c>
      <c r="I18" s="5" t="n">
        <f aca="false">G18-H18</f>
        <v>2.4</v>
      </c>
      <c r="J18" s="19" t="str">
        <f aca="false">IF(I18&lt;=1,"Faible",IF(AND(I18&gt;=2,I18&lt;=3),"Moyen","Élevé"))</f>
        <v>Moyen</v>
      </c>
    </row>
    <row r="19" customFormat="false" ht="15" hidden="false" customHeight="false" outlineLevel="0" collapsed="false">
      <c r="A19" s="6" t="s">
        <v>42</v>
      </c>
      <c r="B19" s="6" t="s">
        <v>16</v>
      </c>
      <c r="C19" s="6" t="s">
        <v>23</v>
      </c>
      <c r="D19" s="7" t="s">
        <v>21</v>
      </c>
      <c r="E19" s="6" t="n">
        <v>43</v>
      </c>
      <c r="F19" s="6" t="n">
        <v>8</v>
      </c>
      <c r="G19" s="6" t="n">
        <v>16.2</v>
      </c>
      <c r="H19" s="6" t="n">
        <v>11.3</v>
      </c>
      <c r="I19" s="8" t="n">
        <f aca="false">G19-H19</f>
        <v>4.9</v>
      </c>
      <c r="J19" s="20" t="str">
        <f aca="false">IF(I19&lt;=1,"Faible",IF(AND(I19&gt;=2,I19&lt;=3),"Moyen","Élevé"))</f>
        <v>Élevé</v>
      </c>
    </row>
    <row r="20" customFormat="false" ht="15" hidden="false" customHeight="false" outlineLevel="0" collapsed="false">
      <c r="A20" s="3" t="s">
        <v>43</v>
      </c>
      <c r="B20" s="3" t="s">
        <v>16</v>
      </c>
      <c r="C20" s="3" t="s">
        <v>11</v>
      </c>
      <c r="D20" s="4" t="s">
        <v>17</v>
      </c>
      <c r="E20" s="3" t="n">
        <v>22</v>
      </c>
      <c r="F20" s="3" t="n">
        <v>6</v>
      </c>
      <c r="G20" s="3" t="n">
        <v>12.9</v>
      </c>
      <c r="H20" s="3" t="n">
        <v>10.4</v>
      </c>
      <c r="I20" s="5" t="n">
        <f aca="false">G20-H20</f>
        <v>2.5</v>
      </c>
      <c r="J20" s="19" t="str">
        <f aca="false">IF(I20&lt;=1,"Faible",IF(AND(I20&gt;=2,I20&lt;=3),"Moyen","Élevé"))</f>
        <v>Moyen</v>
      </c>
    </row>
    <row r="21" customFormat="false" ht="15" hidden="false" customHeight="false" outlineLevel="0" collapsed="false">
      <c r="A21" s="6" t="s">
        <v>44</v>
      </c>
      <c r="B21" s="6" t="s">
        <v>19</v>
      </c>
      <c r="C21" s="6" t="s">
        <v>45</v>
      </c>
      <c r="D21" s="7" t="s">
        <v>24</v>
      </c>
      <c r="E21" s="6" t="n">
        <v>37</v>
      </c>
      <c r="F21" s="6" t="n">
        <v>3</v>
      </c>
      <c r="G21" s="6" t="n">
        <v>16.1</v>
      </c>
      <c r="H21" s="6" t="n">
        <v>15.1</v>
      </c>
      <c r="I21" s="8" t="n">
        <f aca="false">G21-H21</f>
        <v>1</v>
      </c>
      <c r="J21" s="20" t="str">
        <f aca="false">IF(I21&lt;=1,"Faible",IF(AND(I21&gt;=2,I21&lt;=3),"Moyen","Élevé"))</f>
        <v>Faible</v>
      </c>
    </row>
    <row r="22" customFormat="false" ht="15" hidden="false" customHeight="false" outlineLevel="0" collapsed="false"/>
  </sheetData>
  <autoFilter ref="A1:J21"/>
  <conditionalFormatting sqref="J2:J21">
    <cfRule type="expression" priority="2" aboveAverage="0" equalAverage="0" bottom="0" percent="0" rank="0" text="" dxfId="11">
      <formula>J2="Faible"</formula>
    </cfRule>
    <cfRule type="expression" priority="3" aboveAverage="0" equalAverage="0" bottom="0" percent="0" rank="0" text="" dxfId="12">
      <formula>J2="Moyen"</formula>
    </cfRule>
    <cfRule type="expression" priority="4" aboveAverage="0" equalAverage="0" bottom="0" percent="0" rank="0" text="" dxfId="13">
      <formula>J2="Élevé"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3"/>
    <col collapsed="false" customWidth="true" hidden="false" outlineLevel="0" max="5" min="5" style="1" width="16"/>
    <col collapsed="false" customWidth="true" hidden="false" outlineLevel="0" max="7" min="6" style="1" width="14"/>
  </cols>
  <sheetData>
    <row r="1" customFormat="false" ht="15" hidden="false" customHeight="true" outlineLevel="0" collapsed="false">
      <c r="A1" s="10" t="s">
        <v>60</v>
      </c>
      <c r="B1" s="10"/>
      <c r="C1" s="10"/>
      <c r="E1" s="10" t="s">
        <v>61</v>
      </c>
      <c r="F1" s="10"/>
      <c r="G1" s="10"/>
    </row>
    <row r="2" customFormat="false" ht="27.75" hidden="false" customHeight="true" outlineLevel="0" collapsed="false">
      <c r="A2" s="15" t="s">
        <v>2</v>
      </c>
      <c r="B2" s="15" t="s">
        <v>53</v>
      </c>
      <c r="C2" s="15" t="s">
        <v>62</v>
      </c>
      <c r="E2" s="15" t="s">
        <v>1</v>
      </c>
      <c r="F2" s="15" t="s">
        <v>63</v>
      </c>
      <c r="G2" s="15" t="s">
        <v>64</v>
      </c>
    </row>
    <row r="3" customFormat="false" ht="15" hidden="false" customHeight="false" outlineLevel="0" collapsed="false">
      <c r="A3" s="3" t="s">
        <v>45</v>
      </c>
      <c r="B3" s="14" t="n">
        <f aca="false">COUNTIF(Données!C$2:C$21,A3)</f>
        <v>1</v>
      </c>
      <c r="C3" s="21" t="n">
        <f aca="false">B3/COUNTA(Données!C$2:C$21)</f>
        <v>0.05</v>
      </c>
      <c r="E3" s="3" t="s">
        <v>16</v>
      </c>
      <c r="F3" s="12" t="n">
        <f aca="false">AVERAGEIF(Données!B$2:B$21,E3,Données!I$2:I$21)</f>
        <v>2.91111111111111</v>
      </c>
      <c r="G3" s="22" t="n">
        <f aca="false">COUNTIF(Données!B$2:B$21,E3)</f>
        <v>9</v>
      </c>
    </row>
    <row r="4" customFormat="false" ht="15" hidden="false" customHeight="false" outlineLevel="0" collapsed="false">
      <c r="A4" s="6" t="s">
        <v>11</v>
      </c>
      <c r="B4" s="16" t="n">
        <f aca="false">COUNTIF(Données!C$2:C$21,A4)</f>
        <v>6</v>
      </c>
      <c r="C4" s="23" t="n">
        <f aca="false">B4/COUNTA(Données!C$2:C$21)</f>
        <v>0.3</v>
      </c>
      <c r="E4" s="6" t="s">
        <v>19</v>
      </c>
      <c r="F4" s="24" t="n">
        <f aca="false">AVERAGEIF(Données!B$2:B$21,E4,Données!I$2:I$21)</f>
        <v>2.58</v>
      </c>
      <c r="G4" s="25" t="n">
        <f aca="false">COUNTIF(Données!B$2:B$21,E4)</f>
        <v>5</v>
      </c>
    </row>
    <row r="5" customFormat="false" ht="15" hidden="false" customHeight="false" outlineLevel="0" collapsed="false">
      <c r="A5" s="3" t="s">
        <v>33</v>
      </c>
      <c r="B5" s="14" t="n">
        <f aca="false">COUNTIF(Données!C$2:C$21,A5)</f>
        <v>1</v>
      </c>
      <c r="C5" s="21" t="n">
        <f aca="false">B5/COUNTA(Données!C$2:C$21)</f>
        <v>0.05</v>
      </c>
      <c r="E5" s="3" t="s">
        <v>10</v>
      </c>
      <c r="F5" s="12" t="n">
        <f aca="false">AVERAGEIF(Données!B$2:B$21,E5,Données!I$2:I$21)</f>
        <v>2.01666666666667</v>
      </c>
      <c r="G5" s="22" t="n">
        <f aca="false">COUNTIF(Données!B$2:B$21,E5)</f>
        <v>6</v>
      </c>
    </row>
    <row r="6" customFormat="false" ht="15" hidden="false" customHeight="false" outlineLevel="0" collapsed="false">
      <c r="A6" s="6" t="s">
        <v>20</v>
      </c>
      <c r="B6" s="16" t="n">
        <f aca="false">COUNTIF(Données!C$2:C$21,A6)</f>
        <v>2</v>
      </c>
      <c r="C6" s="23" t="n">
        <f aca="false">B6/COUNTA(Données!C$2:C$21)</f>
        <v>0.1</v>
      </c>
      <c r="E6" s="26" t="s">
        <v>65</v>
      </c>
      <c r="F6" s="27" t="n">
        <f aca="false">AVERAGE(Données!I2:I21)</f>
        <v>2.56</v>
      </c>
      <c r="G6" s="28" t="n">
        <f aca="false">COUNTA(Données!A2:A21)</f>
        <v>20</v>
      </c>
    </row>
    <row r="7" customFormat="false" ht="15" hidden="false" customHeight="false" outlineLevel="0" collapsed="false">
      <c r="A7" s="3" t="s">
        <v>39</v>
      </c>
      <c r="B7" s="14" t="n">
        <f aca="false">COUNTIF(Données!C$2:C$21,A7)</f>
        <v>1</v>
      </c>
      <c r="C7" s="21" t="n">
        <f aca="false">B7/COUNTA(Données!C$2:C$21)</f>
        <v>0.05</v>
      </c>
    </row>
    <row r="8" customFormat="false" ht="15" hidden="false" customHeight="false" outlineLevel="0" collapsed="false">
      <c r="A8" s="3" t="s">
        <v>23</v>
      </c>
      <c r="B8" s="14" t="n">
        <f aca="false">COUNTIF(Données!C$2:C$21,A8)</f>
        <v>4</v>
      </c>
      <c r="C8" s="21" t="n">
        <f aca="false">B8/COUNTA(Données!C$2:C$21)</f>
        <v>0.2</v>
      </c>
    </row>
    <row r="9" customFormat="false" ht="15" hidden="false" customHeight="false" outlineLevel="0" collapsed="false">
      <c r="A9" s="6" t="s">
        <v>27</v>
      </c>
      <c r="B9" s="16" t="n">
        <f aca="false">COUNTIF(Données!C$2:C$21,A9)</f>
        <v>1</v>
      </c>
      <c r="C9" s="23" t="n">
        <f aca="false">B9/COUNTA(Données!C$2:C$21)</f>
        <v>0.05</v>
      </c>
    </row>
    <row r="10" customFormat="false" ht="15" hidden="false" customHeight="false" outlineLevel="0" collapsed="false">
      <c r="A10" s="3" t="s">
        <v>14</v>
      </c>
      <c r="B10" s="14" t="n">
        <f aca="false">COUNTIF(Données!C$2:C$21,A10)</f>
        <v>2</v>
      </c>
      <c r="C10" s="21" t="n">
        <f aca="false">B10/COUNTA(Données!C$2:C$21)</f>
        <v>0.1</v>
      </c>
    </row>
    <row r="11" customFormat="false" ht="15" hidden="false" customHeight="false" outlineLevel="0" collapsed="false">
      <c r="A11" s="26" t="s">
        <v>65</v>
      </c>
      <c r="B11" s="28" t="n">
        <f aca="false">SUM(B3:B10)</f>
        <v>18</v>
      </c>
      <c r="C11" s="29" t="n">
        <f aca="false">SUM(C3:C10)</f>
        <v>0.9</v>
      </c>
    </row>
    <row r="12" customFormat="false" ht="15" hidden="false" customHeight="false" outlineLevel="0" collapsed="false"/>
    <row r="1048576" customFormat="false" ht="12.8" hidden="false" customHeight="true" outlineLevel="0" collapsed="false"/>
  </sheetData>
  <mergeCells count="2">
    <mergeCell ref="A1:C1"/>
    <mergeCell ref="E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B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</cols>
  <sheetData>
    <row r="1" customFormat="false" ht="25.5" hidden="false" customHeight="true" outlineLevel="0" collapsed="false">
      <c r="A1" s="2" t="s">
        <v>3</v>
      </c>
      <c r="B1" s="2" t="s">
        <v>66</v>
      </c>
    </row>
    <row r="2" customFormat="false" ht="15" hidden="false" customHeight="false" outlineLevel="0" collapsed="false">
      <c r="A2" s="4" t="s">
        <v>12</v>
      </c>
      <c r="B2" s="14" t="n">
        <f aca="false">COUNTIF(Données!D$2:D$21,A2)</f>
        <v>3</v>
      </c>
    </row>
    <row r="3" customFormat="false" ht="15" hidden="false" customHeight="false" outlineLevel="0" collapsed="false">
      <c r="A3" s="7" t="s">
        <v>31</v>
      </c>
      <c r="B3" s="16" t="n">
        <f aca="false">COUNTIF(Données!D$2:D$21,A3)</f>
        <v>4</v>
      </c>
    </row>
    <row r="4" customFormat="false" ht="15" hidden="false" customHeight="false" outlineLevel="0" collapsed="false">
      <c r="A4" s="4" t="s">
        <v>24</v>
      </c>
      <c r="B4" s="14" t="n">
        <f aca="false">COUNTIF(Données!D$2:D$21,A4)</f>
        <v>5</v>
      </c>
    </row>
    <row r="5" customFormat="false" ht="15" hidden="false" customHeight="false" outlineLevel="0" collapsed="false">
      <c r="A5" s="7" t="s">
        <v>21</v>
      </c>
      <c r="B5" s="16" t="n">
        <f aca="false">COUNTIF(Données!D$2:D$21,A5)</f>
        <v>3</v>
      </c>
    </row>
    <row r="6" customFormat="false" ht="15" hidden="false" customHeight="false" outlineLevel="0" collapsed="false">
      <c r="A6" s="4" t="s">
        <v>17</v>
      </c>
      <c r="B6" s="14" t="n">
        <f aca="false">COUNTIF(Données!D$2:D$21,A6)</f>
        <v>5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2026-02-24T00:22:38Z</dcterms:created>
  <dc:creator>openpyxl</dc:creator>
  <dc:description/>
  <dc:language>fr-FR</dc:language>
  <cp:lastModifiedBy/>
  <dcterms:modified xsi:type="dcterms:W3CDTF">2026-02-24T02:05:00Z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